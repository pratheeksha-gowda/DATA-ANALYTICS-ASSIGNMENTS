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89550A4F19CC122/文档/"/>
    </mc:Choice>
  </mc:AlternateContent>
  <xr:revisionPtr revIDLastSave="17" documentId="8_{6A3EE636-583A-4EAD-B027-E56D534EE2A2}" xr6:coauthVersionLast="47" xr6:coauthVersionMax="47" xr10:uidLastSave="{C175E4E5-C7E3-4191-A8B6-0F8FA6220F2C}"/>
  <bookViews>
    <workbookView xWindow="-108" yWindow="-108" windowWidth="23256" windowHeight="1245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/>
  <c r="O10" i="1"/>
  <c r="N11" i="1"/>
  <c r="N10" i="1"/>
  <c r="I48" i="2"/>
  <c r="O14" i="1"/>
  <c r="O13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<sst xmlns="http://schemas.openxmlformats.org/spreadsheetml/2006/main" count="480" uniqueCount="104">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</sst>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opLeftCell="J4" zoomScale="144" workbookViewId="0">
      <selection activeCell="O15" sqref="O15"/>
    </sheetView>
  </sheetViews>
  <sheetFormatPr defaultColWidth="14.44140625" defaultRowHeight="15" customHeight="1"/>
  <cols>
    <col min="1" max="4" width="8.6640625" customWidth="1"/>
    <col min="5" max="5" width="13.21875" bestFit="1" customWidth="1"/>
    <col min="6" max="6" width="9.88671875" customWidth="1"/>
    <col min="7" max="8" width="8.6640625" customWidth="1"/>
    <col min="9" max="9" width="21.33203125" bestFit="1" customWidth="1"/>
    <col min="10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INDEX(D5:D42,MATCH(MAX(K5:K42),K5:K42,0))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s="6" t="str">
        <f>INDEX(D5:D42,MATCH(MIN(K5:K42),K5:K42,0))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  <c r="O13" t="str">
        <f ca="1">_xlfn.FORMULATEXT(O10)</f>
        <v>=INDEX(D5:D42,MATCH(MAX(K5:K42),K5:K42,0))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  <c r="O14" t="str">
        <f ca="1">_xlfn.FORMULATEXT(O11)</f>
        <v>=INDEX(D5:D42,MATCH(MIN(K5:K42),K5:K42,0))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topLeftCell="A24" workbookViewId="0">
      <selection activeCell="I49" sqref="I49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IFERROR(VLOOKUP(C7,Source!$C$6:$F$40,3,0),"Retired")</f>
        <v>North</v>
      </c>
      <c r="J7" s="6" t="str">
        <f>IFERROR(VLOOKUP(C7,Source!$C$6:$F$40,2,0),"Retired")</f>
        <v>FLM</v>
      </c>
      <c r="K7" s="6">
        <f>IFERROR(VLOOKUP(C7,Source!$C$6:$F$40,4,0),"Retired")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IFERROR(VLOOKUP(C8,Source!$C$6:$F$40,3,0),"Retired")</f>
        <v>North</v>
      </c>
      <c r="J8" s="6" t="str">
        <f>IFERROR(VLOOKUP(C8,Source!$C$6:$F$40,2,0),"Retired")</f>
        <v>Digital Marketing</v>
      </c>
      <c r="K8" s="6">
        <f>IFERROR(VLOOKUP(C8,Source!$C$6:$F$40,4,0),"Retired")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IFERROR(VLOOKUP(C9,Source!$C$6:$F$40,3,0),"Retired")</f>
        <v>North</v>
      </c>
      <c r="J9" s="6" t="str">
        <f>IFERROR(VLOOKUP(C9,Source!$C$6:$F$40,2,0),"Retired")</f>
        <v>Digital Marketing</v>
      </c>
      <c r="K9" s="6">
        <f>IFERROR(VLOOKUP(C9,Source!$C$6:$F$40,4,0),"Retired")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IFERROR(VLOOKUP(C10,Source!$C$6:$F$40,3,0),"Retired")</f>
        <v>South</v>
      </c>
      <c r="J10" s="6" t="str">
        <f>IFERROR(VLOOKUP(C10,Source!$C$6:$F$40,2,0),"Retired")</f>
        <v>Inside Sales</v>
      </c>
      <c r="K10" s="6">
        <f>IFERROR(VLOOKUP(C10,Source!$C$6:$F$40,4,0),"Retired")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IFERROR(VLOOKUP(C11,Source!$C$6:$F$40,3,0),"Retired")</f>
        <v>North</v>
      </c>
      <c r="J11" s="6" t="str">
        <f>IFERROR(VLOOKUP(C11,Source!$C$6:$F$40,2,0),"Retired")</f>
        <v>Marketing</v>
      </c>
      <c r="K11" s="6">
        <f>IFERROR(VLOOKUP(C11,Source!$C$6:$F$40,4,0),"Retired")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IFERROR(VLOOKUP(C12,Source!$C$6:$F$40,3,0),"Retired")</f>
        <v>North</v>
      </c>
      <c r="J12" s="6" t="str">
        <f>IFERROR(VLOOKUP(C12,Source!$C$6:$F$40,2,0),"Retired")</f>
        <v>Director</v>
      </c>
      <c r="K12" s="6">
        <f>IFERROR(VLOOKUP(C12,Source!$C$6:$F$40,4,0),"Retired")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IFERROR(VLOOKUP(C13,Source!$C$6:$F$40,3,0),"Retired")</f>
        <v>Mid West</v>
      </c>
      <c r="J13" s="6" t="str">
        <f>IFERROR(VLOOKUP(C13,Source!$C$6:$F$40,2,0),"Retired")</f>
        <v>Learning &amp; Development</v>
      </c>
      <c r="K13" s="6">
        <f>IFERROR(VLOOKUP(C13,Source!$C$6:$F$40,4,0),"Retired")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IFERROR(VLOOKUP(C14,Source!$C$6:$F$40,3,0),"Retired")</f>
        <v>Mid West</v>
      </c>
      <c r="J14" s="6" t="str">
        <f>IFERROR(VLOOKUP(C14,Source!$C$6:$F$40,2,0),"Retired")</f>
        <v>Digital Marketing</v>
      </c>
      <c r="K14" s="6">
        <f>IFERROR(VLOOKUP(C14,Source!$C$6:$F$40,4,0),"Retired")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IFERROR(VLOOKUP(C15,Source!$C$6:$F$40,3,0),"Retired")</f>
        <v>East</v>
      </c>
      <c r="J15" s="6" t="str">
        <f>IFERROR(VLOOKUP(C15,Source!$C$6:$F$40,2,0),"Retired")</f>
        <v>Digital Marketing</v>
      </c>
      <c r="K15" s="6">
        <f>IFERROR(VLOOKUP(C15,Source!$C$6:$F$40,4,0),"Retired")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IFERROR(VLOOKUP(C16,Source!$C$6:$F$40,3,0),"Retired")</f>
        <v>North</v>
      </c>
      <c r="J16" s="6" t="str">
        <f>IFERROR(VLOOKUP(C16,Source!$C$6:$F$40,2,0),"Retired")</f>
        <v>Inside Sales</v>
      </c>
      <c r="K16" s="6">
        <f>IFERROR(VLOOKUP(C16,Source!$C$6:$F$40,4,0),"Retired")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IFERROR(VLOOKUP(C17,Source!$C$6:$F$40,3,0),"Retired")</f>
        <v>South</v>
      </c>
      <c r="J17" s="6" t="str">
        <f>IFERROR(VLOOKUP(C17,Source!$C$6:$F$40,2,0),"Retired")</f>
        <v>Learning &amp; Development</v>
      </c>
      <c r="K17" s="6">
        <f>IFERROR(VLOOKUP(C17,Source!$C$6:$F$40,4,0),"Retired")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IFERROR(VLOOKUP(C18,Source!$C$6:$F$40,3,0),"Retired")</f>
        <v>East</v>
      </c>
      <c r="J18" s="6" t="str">
        <f>IFERROR(VLOOKUP(C18,Source!$C$6:$F$40,2,0),"Retired")</f>
        <v>Learning &amp; Development</v>
      </c>
      <c r="K18" s="6">
        <f>IFERROR(VLOOKUP(C18,Source!$C$6:$F$40,4,0),"Retired")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IFERROR(VLOOKUP(C19,Source!$C$6:$F$40,3,0),"Retired")</f>
        <v>East</v>
      </c>
      <c r="J19" s="6" t="str">
        <f>IFERROR(VLOOKUP(C19,Source!$C$6:$F$40,2,0),"Retired")</f>
        <v>CEO</v>
      </c>
      <c r="K19" s="6">
        <f>IFERROR(VLOOKUP(C19,Source!$C$6:$F$40,4,0),"Retired")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IFERROR(VLOOKUP(C20,Source!$C$6:$F$40,3,0),"Retired")</f>
        <v>Retired</v>
      </c>
      <c r="J20" s="6" t="str">
        <f>IFERROR(VLOOKUP(C20,Source!$C$6:$F$40,2,0),"Retired")</f>
        <v>Retired</v>
      </c>
      <c r="K20" s="6" t="str">
        <f>IFERROR(VLOOKUP(C20,Source!$C$6:$F$40,4,0),"Retired")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IFERROR(VLOOKUP(C21,Source!$C$6:$F$40,3,0),"Retired")</f>
        <v>South</v>
      </c>
      <c r="J21" s="6" t="str">
        <f>IFERROR(VLOOKUP(C21,Source!$C$6:$F$40,2,0),"Retired")</f>
        <v>Digital Marketing</v>
      </c>
      <c r="K21" s="6">
        <f>IFERROR(VLOOKUP(C21,Source!$C$6:$F$40,4,0),"Retired")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IFERROR(VLOOKUP(C22,Source!$C$6:$F$40,3,0),"Retired")</f>
        <v>South</v>
      </c>
      <c r="J22" s="6" t="str">
        <f>IFERROR(VLOOKUP(C22,Source!$C$6:$F$40,2,0),"Retired")</f>
        <v>Inside Sales</v>
      </c>
      <c r="K22" s="6">
        <f>IFERROR(VLOOKUP(C22,Source!$C$6:$F$40,4,0),"Retired")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IFERROR(VLOOKUP(C23,Source!$C$6:$F$40,3,0),"Retired")</f>
        <v>South</v>
      </c>
      <c r="J23" s="6" t="str">
        <f>IFERROR(VLOOKUP(C23,Source!$C$6:$F$40,2,0),"Retired")</f>
        <v>CCD</v>
      </c>
      <c r="K23" s="6">
        <f>IFERROR(VLOOKUP(C23,Source!$C$6:$F$40,4,0),"Retired")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IFERROR(VLOOKUP(C24,Source!$C$6:$F$40,3,0),"Retired")</f>
        <v>South</v>
      </c>
      <c r="J24" s="6" t="str">
        <f>IFERROR(VLOOKUP(C24,Source!$C$6:$F$40,2,0),"Retired")</f>
        <v>FLM</v>
      </c>
      <c r="K24" s="6">
        <f>IFERROR(VLOOKUP(C24,Source!$C$6:$F$40,4,0),"Retired")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IFERROR(VLOOKUP(C25,Source!$C$6:$F$40,3,0),"Retired")</f>
        <v>Mid West</v>
      </c>
      <c r="J25" s="6" t="str">
        <f>IFERROR(VLOOKUP(C25,Source!$C$6:$F$40,2,0),"Retired")</f>
        <v>Inside Sales</v>
      </c>
      <c r="K25" s="6">
        <f>IFERROR(VLOOKUP(C25,Source!$C$6:$F$40,4,0),"Retired")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IFERROR(VLOOKUP(C26,Source!$C$6:$F$40,3,0),"Retired")</f>
        <v>South</v>
      </c>
      <c r="J26" s="6" t="str">
        <f>IFERROR(VLOOKUP(C26,Source!$C$6:$F$40,2,0),"Retired")</f>
        <v>Operations</v>
      </c>
      <c r="K26" s="6">
        <f>IFERROR(VLOOKUP(C26,Source!$C$6:$F$40,4,0),"Retired")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IFERROR(VLOOKUP(C27,Source!$C$6:$F$40,3,0),"Retired")</f>
        <v>South</v>
      </c>
      <c r="J27" s="6" t="str">
        <f>IFERROR(VLOOKUP(C27,Source!$C$6:$F$40,2,0),"Retired")</f>
        <v>Finance</v>
      </c>
      <c r="K27" s="6">
        <f>IFERROR(VLOOKUP(C27,Source!$C$6:$F$40,4,0),"Retired")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IFERROR(VLOOKUP(C28,Source!$C$6:$F$40,3,0),"Retired")</f>
        <v>East</v>
      </c>
      <c r="J28" s="6" t="str">
        <f>IFERROR(VLOOKUP(C28,Source!$C$6:$F$40,2,0),"Retired")</f>
        <v>Inside Sales</v>
      </c>
      <c r="K28" s="6">
        <f>IFERROR(VLOOKUP(C28,Source!$C$6:$F$40,4,0),"Retired")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IFERROR(VLOOKUP(C29,Source!$C$6:$F$40,3,0),"Retired")</f>
        <v>East</v>
      </c>
      <c r="J29" s="6" t="str">
        <f>IFERROR(VLOOKUP(C29,Source!$C$6:$F$40,2,0),"Retired")</f>
        <v>Finance</v>
      </c>
      <c r="K29" s="6">
        <f>IFERROR(VLOOKUP(C29,Source!$C$6:$F$40,4,0),"Retired")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IFERROR(VLOOKUP(C30,Source!$C$6:$F$40,3,0),"Retired")</f>
        <v>Retired</v>
      </c>
      <c r="J30" s="6" t="str">
        <f>IFERROR(VLOOKUP(C30,Source!$C$6:$F$40,2,0),"Retired")</f>
        <v>Retired</v>
      </c>
      <c r="K30" s="6" t="str">
        <f>IFERROR(VLOOKUP(C30,Source!$C$6:$F$40,4,0),"Retired")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IFERROR(VLOOKUP(C31,Source!$C$6:$F$40,3,0),"Retired")</f>
        <v>Mid West</v>
      </c>
      <c r="J31" s="6" t="str">
        <f>IFERROR(VLOOKUP(C31,Source!$C$6:$F$40,2,0),"Retired")</f>
        <v>Finance</v>
      </c>
      <c r="K31" s="6">
        <f>IFERROR(VLOOKUP(C31,Source!$C$6:$F$40,4,0),"Retired")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IFERROR(VLOOKUP(C32,Source!$C$6:$F$40,3,0),"Retired")</f>
        <v>South</v>
      </c>
      <c r="J32" s="6" t="str">
        <f>IFERROR(VLOOKUP(C32,Source!$C$6:$F$40,2,0),"Retired")</f>
        <v>Sales</v>
      </c>
      <c r="K32" s="6">
        <f>IFERROR(VLOOKUP(C32,Source!$C$6:$F$40,4,0),"Retired")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IFERROR(VLOOKUP(C33,Source!$C$6:$F$40,3,0),"Retired")</f>
        <v>South</v>
      </c>
      <c r="J33" s="6" t="str">
        <f>IFERROR(VLOOKUP(C33,Source!$C$6:$F$40,2,0),"Retired")</f>
        <v>Operations</v>
      </c>
      <c r="K33" s="6">
        <f>IFERROR(VLOOKUP(C33,Source!$C$6:$F$40,4,0),"Retired")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IFERROR(VLOOKUP(C34,Source!$C$6:$F$40,3,0),"Retired")</f>
        <v>North</v>
      </c>
      <c r="J34" s="6" t="str">
        <f>IFERROR(VLOOKUP(C34,Source!$C$6:$F$40,2,0),"Retired")</f>
        <v>Finance</v>
      </c>
      <c r="K34" s="6">
        <f>IFERROR(VLOOKUP(C34,Source!$C$6:$F$40,4,0),"Retired")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IFERROR(VLOOKUP(C35,Source!$C$6:$F$40,3,0),"Retired")</f>
        <v>East</v>
      </c>
      <c r="J35" s="6" t="str">
        <f>IFERROR(VLOOKUP(C35,Source!$C$6:$F$40,2,0),"Retired")</f>
        <v>Inside Sales</v>
      </c>
      <c r="K35" s="6">
        <f>IFERROR(VLOOKUP(C35,Source!$C$6:$F$40,4,0),"Retired")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IFERROR(VLOOKUP(C36,Source!$C$6:$F$40,3,0),"Retired")</f>
        <v>East</v>
      </c>
      <c r="J36" s="6" t="str">
        <f>IFERROR(VLOOKUP(C36,Source!$C$6:$F$40,2,0),"Retired")</f>
        <v>CCD</v>
      </c>
      <c r="K36" s="6">
        <f>IFERROR(VLOOKUP(C36,Source!$C$6:$F$40,4,0),"Retired")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IFERROR(VLOOKUP(C37,Source!$C$6:$F$40,3,0),"Retired")</f>
        <v>South</v>
      </c>
      <c r="J37" s="6" t="str">
        <f>IFERROR(VLOOKUP(C37,Source!$C$6:$F$40,2,0),"Retired")</f>
        <v>Director</v>
      </c>
      <c r="K37" s="6">
        <f>IFERROR(VLOOKUP(C37,Source!$C$6:$F$40,4,0),"Retired")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IFERROR(VLOOKUP(C38,Source!$C$6:$F$40,3,0),"Retired")</f>
        <v>Retired</v>
      </c>
      <c r="J38" s="6" t="str">
        <f>IFERROR(VLOOKUP(C38,Source!$C$6:$F$40,2,0),"Retired")</f>
        <v>Retired</v>
      </c>
      <c r="K38" s="6" t="str">
        <f>IFERROR(VLOOKUP(C38,Source!$C$6:$F$40,4,0),"Retired")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IFERROR(VLOOKUP(C39,Source!$C$6:$F$40,3,0),"Retired")</f>
        <v>East</v>
      </c>
      <c r="J39" s="6" t="str">
        <f>IFERROR(VLOOKUP(C39,Source!$C$6:$F$40,2,0),"Retired")</f>
        <v>Marketing</v>
      </c>
      <c r="K39" s="6">
        <f>IFERROR(VLOOKUP(C39,Source!$C$6:$F$40,4,0),"Retired")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IFERROR(VLOOKUP(C40,Source!$C$6:$F$40,3,0),"Retired")</f>
        <v>North</v>
      </c>
      <c r="J40" s="6" t="str">
        <f>IFERROR(VLOOKUP(C40,Source!$C$6:$F$40,2,0),"Retired")</f>
        <v>Digital Marketing</v>
      </c>
      <c r="K40" s="6">
        <f>IFERROR(VLOOKUP(C40,Source!$C$6:$F$40,4,0),"Retired")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IFERROR(VLOOKUP(C41,Source!$C$6:$F$40,3,0),"Retired")</f>
        <v>North</v>
      </c>
      <c r="J41" s="6" t="str">
        <f>IFERROR(VLOOKUP(C41,Source!$C$6:$F$40,2,0),"Retired")</f>
        <v>Sales</v>
      </c>
      <c r="K41" s="6">
        <f>IFERROR(VLOOKUP(C41,Source!$C$6:$F$40,4,0),"Retired")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IFERROR(VLOOKUP(C42,Source!$C$6:$F$40,3,0),"Retired")</f>
        <v>South</v>
      </c>
      <c r="J42" s="6" t="str">
        <f>IFERROR(VLOOKUP(C42,Source!$C$6:$F$40,2,0),"Retired")</f>
        <v>Marketing</v>
      </c>
      <c r="K42" s="6">
        <f>IFERROR(VLOOKUP(C42,Source!$C$6:$F$40,4,0),"Retired")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IFERROR(VLOOKUP(C43,Source!$C$6:$F$40,3,0),"Retired")</f>
        <v>Mid West</v>
      </c>
      <c r="J43" s="6" t="str">
        <f>IFERROR(VLOOKUP(C43,Source!$C$6:$F$40,2,0),"Retired")</f>
        <v>Marketing</v>
      </c>
      <c r="K43" s="6">
        <f>IFERROR(VLOOKUP(C43,Source!$C$6:$F$40,4,0),"Retired")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IFERROR(VLOOKUP(C44,Source!$C$6:$F$40,3,0),"Retired")</f>
        <v>North</v>
      </c>
      <c r="J44" s="6" t="str">
        <f>IFERROR(VLOOKUP(C44,Source!$C$6:$F$40,2,0),"Retired")</f>
        <v>CCD</v>
      </c>
      <c r="K44" s="6">
        <f>IFERROR(VLOOKUP(C44,Source!$C$6:$F$40,4,0),"Retired")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>
      <c r="I48" t="str">
        <f ca="1">_xlfn.FORMULATEXT(I7)</f>
        <v>=IFERROR(VLOOKUP(C7,Source!$C$6:$F$40,3,0),"Retired")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B10" workbookViewId="0"/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Harshitha GP</cp:lastModifiedBy>
  <dcterms:created xsi:type="dcterms:W3CDTF">2022-07-27T06:45:44Z</dcterms:created>
  <dcterms:modified xsi:type="dcterms:W3CDTF">2025-09-05T16:53:14Z</dcterms:modified>
</cp:coreProperties>
</file>