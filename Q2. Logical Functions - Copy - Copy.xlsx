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EXCEL-ASSIGN/"/>
    </mc:Choice>
  </mc:AlternateContent>
  <xr:revisionPtr revIDLastSave="2" documentId="13_ncr:1_{6E4F7CDA-C643-487A-A21A-CAC5F162BE78}" xr6:coauthVersionLast="47" xr6:coauthVersionMax="47" xr10:uidLastSave="{39A34238-8E4B-418B-A761-F810D43FB246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54" i="1"/>
  <c r="K50" i="1"/>
  <c r="K51" i="1"/>
  <c r="K53" i="1"/>
  <c r="K52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<sst xmlns="http://schemas.openxmlformats.org/spreadsheetml/2006/main" count="243" uniqueCount="102">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</sst>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17" workbookViewId="0">
      <selection activeCell="P33" sqref="P33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21.33203125" bestFit="1" customWidth="1"/>
    <col min="8" max="8" width="14.109375" customWidth="1"/>
    <col min="9" max="9" width="12.33203125" customWidth="1"/>
    <col min="10" max="10" width="12.6640625" bestFit="1" customWidth="1"/>
    <col min="11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 "Eligible for Gift","")</f>
        <v/>
      </c>
      <c r="K10" s="11" t="str">
        <f>IF(AND(H10&lt;30000,G10="CCD"),9000,"")</f>
        <v/>
      </c>
      <c r="L10" s="11" t="str">
        <f>IF(YEAR(D10)&lt;1980,"Retired"," ")</f>
        <v>Retired</v>
      </c>
      <c r="M10" s="11" t="str">
        <f>IF(AND(OR(G10="Sales",G10="Marketing"),H10&lt;45000),25000,"")</f>
        <v/>
      </c>
      <c r="N10" s="11">
        <f>IF(OR(G10="CEO",G10="Director"),0,1500)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IF(AND(E11="Female",H11&lt;50000), "Eligible for Gift","")</f>
        <v/>
      </c>
      <c r="K11" s="11" t="str">
        <f t="shared" ref="K11:K47" si="1">IF(AND(H11&lt;30000,G11="CCD"),9000,"")</f>
        <v/>
      </c>
      <c r="L11" s="11" t="str">
        <f t="shared" ref="L11:L47" si="2">IF(YEAR(D11)&lt;1980,"Retired"," ")</f>
        <v>Retired</v>
      </c>
      <c r="M11" s="11">
        <f t="shared" ref="M11:M47" si="3">IF(AND(OR(G11="Sales",G11="Marketing"),H11&lt;45000),25000,"")</f>
        <v>25000</v>
      </c>
      <c r="N11" s="11">
        <f t="shared" ref="N11:N47" si="4">IF(OR(G11="CEO",G11="Director"),0,1500)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/>
      </c>
      <c r="L12" s="11" t="str">
        <f t="shared" si="2"/>
        <v>Retired</v>
      </c>
      <c r="M12" s="11" t="str">
        <f t="shared" si="3"/>
        <v/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/>
      </c>
      <c r="K13" s="11" t="str">
        <f t="shared" si="1"/>
        <v/>
      </c>
      <c r="L13" s="11" t="str">
        <f t="shared" si="2"/>
        <v>Retired</v>
      </c>
      <c r="M13" s="11" t="str">
        <f t="shared" si="3"/>
        <v/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/>
      </c>
      <c r="K14" s="11" t="str">
        <f t="shared" si="1"/>
        <v/>
      </c>
      <c r="L14" s="11" t="str">
        <f t="shared" si="2"/>
        <v>Retired</v>
      </c>
      <c r="M14" s="11" t="str">
        <f t="shared" si="3"/>
        <v/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/>
      </c>
      <c r="K15" s="11" t="str">
        <f t="shared" si="1"/>
        <v/>
      </c>
      <c r="L15" s="11" t="str">
        <f t="shared" si="2"/>
        <v>Retired</v>
      </c>
      <c r="M15" s="11" t="str">
        <f t="shared" si="3"/>
        <v/>
      </c>
      <c r="N15" s="11">
        <f t="shared" si="4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/>
      </c>
      <c r="K16" s="11" t="str">
        <f t="shared" si="1"/>
        <v/>
      </c>
      <c r="L16" s="11" t="str">
        <f t="shared" si="2"/>
        <v>Retired</v>
      </c>
      <c r="M16" s="11" t="str">
        <f t="shared" si="3"/>
        <v/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/>
      </c>
      <c r="K17" s="11">
        <f t="shared" si="1"/>
        <v>9000</v>
      </c>
      <c r="L17" s="11" t="str">
        <f t="shared" si="2"/>
        <v xml:space="preserve"> </v>
      </c>
      <c r="M17" s="11" t="str">
        <f t="shared" si="3"/>
        <v/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/>
      </c>
      <c r="K18" s="11" t="str">
        <f t="shared" si="1"/>
        <v/>
      </c>
      <c r="L18" s="11" t="str">
        <f t="shared" si="2"/>
        <v>Retired</v>
      </c>
      <c r="M18" s="11" t="str">
        <f t="shared" si="3"/>
        <v/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/>
      </c>
      <c r="L19" s="11" t="str">
        <f t="shared" si="2"/>
        <v xml:space="preserve"> </v>
      </c>
      <c r="M19" s="11" t="str">
        <f t="shared" si="3"/>
        <v/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/>
      </c>
      <c r="L20" s="11" t="str">
        <f t="shared" si="2"/>
        <v>Retired</v>
      </c>
      <c r="M20" s="11" t="str">
        <f t="shared" si="3"/>
        <v/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/>
      </c>
      <c r="K21" s="11" t="str">
        <f t="shared" si="1"/>
        <v/>
      </c>
      <c r="L21" s="11" t="str">
        <f t="shared" si="2"/>
        <v xml:space="preserve"> </v>
      </c>
      <c r="M21" s="11" t="str">
        <f t="shared" si="3"/>
        <v/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/>
      </c>
      <c r="K22" s="11" t="str">
        <f t="shared" si="1"/>
        <v/>
      </c>
      <c r="L22" s="11" t="str">
        <f t="shared" si="2"/>
        <v xml:space="preserve"> </v>
      </c>
      <c r="M22" s="11" t="str">
        <f t="shared" si="3"/>
        <v/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/>
      </c>
      <c r="K23" s="11" t="str">
        <f t="shared" si="1"/>
        <v/>
      </c>
      <c r="L23" s="11" t="str">
        <f t="shared" si="2"/>
        <v xml:space="preserve"> </v>
      </c>
      <c r="M23" s="11" t="str">
        <f t="shared" si="3"/>
        <v/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/>
      </c>
      <c r="K24" s="11" t="str">
        <f t="shared" si="1"/>
        <v/>
      </c>
      <c r="L24" s="11" t="str">
        <f t="shared" si="2"/>
        <v xml:space="preserve"> </v>
      </c>
      <c r="M24" s="11" t="str">
        <f t="shared" si="3"/>
        <v/>
      </c>
      <c r="N24" s="11">
        <f t="shared" si="4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/>
      </c>
      <c r="L25" s="11" t="str">
        <f t="shared" si="2"/>
        <v>Retired</v>
      </c>
      <c r="M25" s="11" t="str">
        <f t="shared" si="3"/>
        <v/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/>
      </c>
      <c r="L26" s="11" t="str">
        <f t="shared" si="2"/>
        <v xml:space="preserve"> 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/>
      </c>
      <c r="K27" s="11" t="str">
        <f t="shared" si="1"/>
        <v/>
      </c>
      <c r="L27" s="11" t="str">
        <f t="shared" si="2"/>
        <v xml:space="preserve"> </v>
      </c>
      <c r="M27" s="11" t="str">
        <f t="shared" si="3"/>
        <v/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/>
      </c>
      <c r="K28" s="11" t="str">
        <f t="shared" si="1"/>
        <v/>
      </c>
      <c r="L28" s="11" t="str">
        <f t="shared" si="2"/>
        <v xml:space="preserve"> </v>
      </c>
      <c r="M28" s="11" t="str">
        <f t="shared" si="3"/>
        <v/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/>
      </c>
      <c r="K29" s="11" t="str">
        <f t="shared" si="1"/>
        <v/>
      </c>
      <c r="L29" s="11" t="str">
        <f t="shared" si="2"/>
        <v xml:space="preserve"> </v>
      </c>
      <c r="M29" s="11" t="str">
        <f t="shared" si="3"/>
        <v/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/>
      </c>
      <c r="K30" s="11" t="str">
        <f t="shared" si="1"/>
        <v/>
      </c>
      <c r="L30" s="11" t="str">
        <f t="shared" si="2"/>
        <v xml:space="preserve"> </v>
      </c>
      <c r="M30" s="11" t="str">
        <f t="shared" si="3"/>
        <v/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/>
      </c>
      <c r="K31" s="11" t="str">
        <f t="shared" si="1"/>
        <v/>
      </c>
      <c r="L31" s="11" t="str">
        <f t="shared" si="2"/>
        <v xml:space="preserve"> </v>
      </c>
      <c r="M31" s="11" t="str">
        <f t="shared" si="3"/>
        <v/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/>
      </c>
      <c r="K32" s="11" t="str">
        <f t="shared" si="1"/>
        <v/>
      </c>
      <c r="L32" s="11" t="str">
        <f t="shared" si="2"/>
        <v xml:space="preserve"> </v>
      </c>
      <c r="M32" s="11" t="str">
        <f t="shared" si="3"/>
        <v/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/>
      </c>
      <c r="K33" s="11" t="str">
        <f t="shared" si="1"/>
        <v/>
      </c>
      <c r="L33" s="11" t="str">
        <f t="shared" si="2"/>
        <v xml:space="preserve"> </v>
      </c>
      <c r="M33" s="11" t="str">
        <f t="shared" si="3"/>
        <v/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/>
      </c>
      <c r="K34" s="11" t="str">
        <f t="shared" si="1"/>
        <v/>
      </c>
      <c r="L34" s="11" t="str">
        <f t="shared" si="2"/>
        <v xml:space="preserve"> </v>
      </c>
      <c r="M34" s="11" t="str">
        <f t="shared" si="3"/>
        <v/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/>
      </c>
      <c r="K35" s="11" t="str">
        <f t="shared" si="1"/>
        <v/>
      </c>
      <c r="L35" s="11" t="str">
        <f t="shared" si="2"/>
        <v>Retired</v>
      </c>
      <c r="M35" s="11" t="str">
        <f t="shared" si="3"/>
        <v/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/>
      </c>
      <c r="K36" s="11" t="str">
        <f t="shared" si="1"/>
        <v/>
      </c>
      <c r="L36" s="11" t="str">
        <f t="shared" si="2"/>
        <v xml:space="preserve"> </v>
      </c>
      <c r="M36" s="11" t="str">
        <f t="shared" si="3"/>
        <v/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/>
      </c>
      <c r="K37" s="11" t="str">
        <f t="shared" si="1"/>
        <v/>
      </c>
      <c r="L37" s="11" t="str">
        <f t="shared" si="2"/>
        <v>Retired</v>
      </c>
      <c r="M37" s="11" t="str">
        <f t="shared" si="3"/>
        <v/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/>
      </c>
      <c r="K38" s="11" t="str">
        <f t="shared" si="1"/>
        <v/>
      </c>
      <c r="L38" s="11" t="str">
        <f t="shared" si="2"/>
        <v>Retired</v>
      </c>
      <c r="M38" s="11" t="str">
        <f t="shared" si="3"/>
        <v/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/>
      </c>
      <c r="K39" s="11" t="str">
        <f t="shared" si="1"/>
        <v/>
      </c>
      <c r="L39" s="11" t="str">
        <f t="shared" si="2"/>
        <v xml:space="preserve"> </v>
      </c>
      <c r="M39" s="11" t="str">
        <f t="shared" si="3"/>
        <v/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/>
      </c>
      <c r="K40" s="11" t="str">
        <f t="shared" si="1"/>
        <v/>
      </c>
      <c r="L40" s="11" t="str">
        <f t="shared" si="2"/>
        <v xml:space="preserve"> </v>
      </c>
      <c r="M40" s="11" t="str">
        <f t="shared" si="3"/>
        <v/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/>
      </c>
      <c r="K41" s="11" t="str">
        <f t="shared" si="1"/>
        <v/>
      </c>
      <c r="L41" s="11" t="str">
        <f t="shared" si="2"/>
        <v xml:space="preserve"> </v>
      </c>
      <c r="M41" s="11" t="str">
        <f t="shared" si="3"/>
        <v/>
      </c>
      <c r="N41" s="11">
        <f t="shared" si="4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/>
      </c>
      <c r="K42" s="11" t="str">
        <f t="shared" si="1"/>
        <v/>
      </c>
      <c r="L42" s="11" t="str">
        <f t="shared" si="2"/>
        <v xml:space="preserve"> </v>
      </c>
      <c r="M42" s="11" t="str">
        <f t="shared" si="3"/>
        <v/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/>
      </c>
      <c r="K43" s="11" t="str">
        <f t="shared" si="1"/>
        <v/>
      </c>
      <c r="L43" s="11" t="str">
        <f t="shared" si="2"/>
        <v xml:space="preserve"> </v>
      </c>
      <c r="M43" s="11" t="str">
        <f t="shared" si="3"/>
        <v/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/>
      </c>
      <c r="K44" s="11" t="str">
        <f t="shared" si="1"/>
        <v/>
      </c>
      <c r="L44" s="11" t="str">
        <f t="shared" si="2"/>
        <v xml:space="preserve"> </v>
      </c>
      <c r="M44" s="11" t="str">
        <f t="shared" si="3"/>
        <v/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/>
      </c>
      <c r="K45" s="11" t="str">
        <f t="shared" si="1"/>
        <v/>
      </c>
      <c r="L45" s="11" t="str">
        <f t="shared" si="2"/>
        <v xml:space="preserve"> </v>
      </c>
      <c r="M45" s="11" t="str">
        <f t="shared" si="3"/>
        <v/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/>
      </c>
      <c r="K46" s="11" t="str">
        <f t="shared" si="1"/>
        <v/>
      </c>
      <c r="L46" s="11" t="str">
        <f t="shared" si="2"/>
        <v xml:space="preserve"> </v>
      </c>
      <c r="M46" s="11" t="str">
        <f t="shared" si="3"/>
        <v/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/>
      </c>
      <c r="K47" s="11" t="str">
        <f t="shared" si="1"/>
        <v/>
      </c>
      <c r="L47" s="11" t="str">
        <f t="shared" si="2"/>
        <v xml:space="preserve"> </v>
      </c>
      <c r="M47" s="11" t="str">
        <f t="shared" si="3"/>
        <v/>
      </c>
      <c r="N47" s="11">
        <f t="shared" si="4"/>
        <v>1500</v>
      </c>
    </row>
    <row r="48" spans="1:14" ht="14.25" customHeight="1" x14ac:dyDescent="0.3">
      <c r="G48" s="12"/>
    </row>
    <row r="49" spans="10:11" ht="14.25" customHeight="1" x14ac:dyDescent="0.3"/>
    <row r="50" spans="10:11" ht="14.25" customHeight="1" x14ac:dyDescent="0.3">
      <c r="J50">
        <v>1</v>
      </c>
      <c r="K50" t="str">
        <f ca="1">_xlfn.FORMULATEXT(J47)</f>
        <v>=IF(AND(E47="Female",H47&lt;50000), "Eligible for Gift","")</v>
      </c>
    </row>
    <row r="51" spans="10:11" ht="14.25" customHeight="1" x14ac:dyDescent="0.3">
      <c r="J51">
        <v>2</v>
      </c>
      <c r="K51" t="str">
        <f ca="1">_xlfn.FORMULATEXT(K47)</f>
        <v>=IF(AND(H47&lt;30000,G47="CCD"),9000,"")</v>
      </c>
    </row>
    <row r="52" spans="10:11" ht="14.25" customHeight="1" x14ac:dyDescent="0.3">
      <c r="J52">
        <v>3</v>
      </c>
      <c r="K52" t="str">
        <f ca="1">_xlfn.FORMULATEXT(L47)</f>
        <v>=IF(YEAR(D47)&lt;1980,"Retired"," ")</v>
      </c>
    </row>
    <row r="53" spans="10:11" ht="14.25" customHeight="1" x14ac:dyDescent="0.3">
      <c r="J53">
        <v>4</v>
      </c>
      <c r="K53" t="str">
        <f ca="1">_xlfn.FORMULATEXT(M47)</f>
        <v>=IF(AND(OR(G47="Sales",G47="Marketing"),H47&lt;45000),25000,"")</v>
      </c>
    </row>
    <row r="54" spans="10:11" ht="14.25" customHeight="1" x14ac:dyDescent="0.3">
      <c r="J54">
        <v>5</v>
      </c>
      <c r="K54" t="str">
        <f ca="1">_xlfn.FORMULATEXT(N47)</f>
        <v>=IF(OR(G47="CEO",G47="Director"),0,1500)</v>
      </c>
    </row>
    <row r="55" spans="10:11" ht="14.25" customHeight="1" x14ac:dyDescent="0.3"/>
    <row r="56" spans="10:11" ht="14.25" customHeight="1" x14ac:dyDescent="0.3"/>
    <row r="57" spans="10:11" ht="14.25" customHeight="1" x14ac:dyDescent="0.3"/>
    <row r="58" spans="10:11" ht="14.25" customHeight="1" x14ac:dyDescent="0.3"/>
    <row r="59" spans="10:11" ht="14.25" customHeight="1" x14ac:dyDescent="0.3"/>
    <row r="60" spans="10:11" ht="14.25" customHeight="1" x14ac:dyDescent="0.3"/>
    <row r="61" spans="10:11" ht="14.25" customHeight="1" x14ac:dyDescent="0.3"/>
    <row r="62" spans="10:11" ht="14.25" customHeight="1" x14ac:dyDescent="0.3"/>
    <row r="63" spans="10:11" ht="14.25" customHeight="1" x14ac:dyDescent="0.3"/>
    <row r="64" spans="10:1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Harshitha GP</cp:lastModifiedBy>
  <dcterms:created xsi:type="dcterms:W3CDTF">2020-05-11T11:02:27Z</dcterms:created>
  <dcterms:modified xsi:type="dcterms:W3CDTF">2025-10-13T06:50:00Z</dcterms:modified>
</cp:coreProperties>
</file>